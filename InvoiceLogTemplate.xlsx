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opbox (Milliman)\_Mill_CY\1 (Admin)\_Time Charges and Billing\Planning and Pipeline\"/>
    </mc:Choice>
  </mc:AlternateContent>
  <xr:revisionPtr revIDLastSave="0" documentId="13_ncr:1_{0F21BC2B-E001-4517-A3FF-0018E69A06EE}" xr6:coauthVersionLast="47" xr6:coauthVersionMax="47" xr10:uidLastSave="{00000000-0000-0000-0000-000000000000}"/>
  <bookViews>
    <workbookView xWindow="-96" yWindow="-96" windowWidth="20928" windowHeight="12432" xr2:uid="{98194B23-E92D-47B1-B680-716E457496C5}"/>
  </bookViews>
  <sheets>
    <sheet name="InvoiceLogTemplate" sheetId="1" r:id="rId1"/>
  </sheets>
  <externalReferences>
    <externalReference r:id="rId2"/>
    <externalReference r:id="rId3"/>
  </externalReferences>
  <definedNames>
    <definedName name="_Tbl_TimeOff" localSheetId="0">[1]!Table5[#All]</definedName>
    <definedName name="_Tbl_TimeOff">[1]!Table5[#All]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" l="1"/>
  <c r="F25" i="1"/>
  <c r="B25" i="1"/>
  <c r="G24" i="1"/>
  <c r="F24" i="1"/>
  <c r="B24" i="1"/>
  <c r="G23" i="1"/>
  <c r="F23" i="1"/>
  <c r="B23" i="1"/>
  <c r="G22" i="1"/>
  <c r="F22" i="1"/>
  <c r="B22" i="1"/>
</calcChain>
</file>

<file path=xl/sharedStrings.xml><?xml version="1.0" encoding="utf-8"?>
<sst xmlns="http://schemas.openxmlformats.org/spreadsheetml/2006/main" count="184" uniqueCount="87">
  <si>
    <t>Year</t>
  </si>
  <si>
    <t>Client</t>
  </si>
  <si>
    <t>Legal Entity</t>
  </si>
  <si>
    <t>Project</t>
  </si>
  <si>
    <t>client_code</t>
  </si>
  <si>
    <t>Suffices Count</t>
  </si>
  <si>
    <t>allocate to:</t>
  </si>
  <si>
    <t>Type</t>
  </si>
  <si>
    <t>Invoice No</t>
  </si>
  <si>
    <t>Invoiced Amt</t>
  </si>
  <si>
    <t>Date Issued</t>
  </si>
  <si>
    <t>Note</t>
  </si>
  <si>
    <t>Suffix1</t>
  </si>
  <si>
    <t>Inv. Amt S1</t>
  </si>
  <si>
    <t>Suffix2</t>
  </si>
  <si>
    <t>Inv. Amt S2</t>
  </si>
  <si>
    <t>Suffix3</t>
  </si>
  <si>
    <t>Inv. Amt S3</t>
  </si>
  <si>
    <t>Invoice</t>
  </si>
  <si>
    <t>0478AST78</t>
  </si>
  <si>
    <t>(blank)</t>
  </si>
  <si>
    <t>0478ATO78</t>
  </si>
  <si>
    <t>ATOS</t>
  </si>
  <si>
    <t>0478BAK78</t>
  </si>
  <si>
    <t>Baker Tilly</t>
  </si>
  <si>
    <t>0478COS78</t>
  </si>
  <si>
    <t>Cosmoco</t>
  </si>
  <si>
    <t>0478ERG78</t>
  </si>
  <si>
    <t>ERGO</t>
  </si>
  <si>
    <t>IFRS17 - P1</t>
  </si>
  <si>
    <t>IFRS17 - P2</t>
  </si>
  <si>
    <t>IFRS17 - Local Assistance</t>
  </si>
  <si>
    <t>Prophet Training</t>
  </si>
  <si>
    <t>TVOG Re-calc</t>
  </si>
  <si>
    <t>0478ETH30</t>
  </si>
  <si>
    <t>Ethniki CY</t>
  </si>
  <si>
    <t>Economic Scenarios</t>
  </si>
  <si>
    <t>Market Risk Calcs</t>
  </si>
  <si>
    <t>Additional Tasks</t>
  </si>
  <si>
    <t>0478EUR30</t>
  </si>
  <si>
    <t>Eurolife Fairfax</t>
  </si>
  <si>
    <t>ESG</t>
  </si>
  <si>
    <t>SoW_2021-05 Secondment Resources</t>
  </si>
  <si>
    <t>SoW_2022-06 Fair Value - IFRS17</t>
  </si>
  <si>
    <t>0478INT30</t>
  </si>
  <si>
    <t>IAG</t>
  </si>
  <si>
    <t>Fair Value - IFRS17</t>
  </si>
  <si>
    <t>IFRS17 - Main</t>
  </si>
  <si>
    <t>IFRS17 - Additional</t>
  </si>
  <si>
    <t>HIA</t>
  </si>
  <si>
    <t>AFH Review</t>
  </si>
  <si>
    <t>TVoG Sirius</t>
  </si>
  <si>
    <t>Methodology</t>
  </si>
  <si>
    <t>UAT</t>
  </si>
  <si>
    <t>IFRS17 VFA Eligibility</t>
  </si>
  <si>
    <t>Turbo ALM - License</t>
  </si>
  <si>
    <t>Turbo ALM - Initial License</t>
  </si>
  <si>
    <t>Appendix I-II</t>
  </si>
  <si>
    <t>IFRS17 Life – WoP Claims</t>
  </si>
  <si>
    <t>Treatment of policyholders’ loans under IFRS17</t>
  </si>
  <si>
    <t>Reinsurance - Life</t>
  </si>
  <si>
    <t>IFRS17 Documentation</t>
  </si>
  <si>
    <t>0478PRI78</t>
  </si>
  <si>
    <t>Prime</t>
  </si>
  <si>
    <t>IFRS17 Support</t>
  </si>
  <si>
    <t>0478UNI78</t>
  </si>
  <si>
    <t>Universal</t>
  </si>
  <si>
    <t>0478ZER30</t>
  </si>
  <si>
    <t>Z-Code(?)</t>
  </si>
  <si>
    <t>0478MIN78</t>
  </si>
  <si>
    <t>Minerva</t>
  </si>
  <si>
    <t>Reinsurance - Opinion</t>
  </si>
  <si>
    <t>Grand Total</t>
  </si>
  <si>
    <t>Date</t>
  </si>
  <si>
    <t>Invoice Status</t>
  </si>
  <si>
    <t>4_Paid</t>
  </si>
  <si>
    <t>2020/36</t>
  </si>
  <si>
    <t>2021/21</t>
  </si>
  <si>
    <t>1_Prepared</t>
  </si>
  <si>
    <t>2_Sent</t>
  </si>
  <si>
    <t>3_Overdue</t>
  </si>
  <si>
    <t>5_Cancelled</t>
  </si>
  <si>
    <t>Sum of Project Budget</t>
  </si>
  <si>
    <t>Sum of Proj. Budget Ext.</t>
  </si>
  <si>
    <t>Sum of Invoiced</t>
  </si>
  <si>
    <t>2021/4</t>
  </si>
  <si>
    <t>2021/13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</si>
</sst>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#,##0_ ;[Red]\-#,##0\ "/>
    <numFmt numFmtId="166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0"/>
      <color theme="4" tint="-0.249977111117893"/>
      <name val="Arial"/>
      <family val="2"/>
    </font>
    <font>
      <sz val="11"/>
      <color theme="8" tint="-0.499984740745262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1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2" borderId="0" xfId="0" applyFont="1" applyFill="1" applyAlignment="1">
      <alignment wrapText="1"/>
    </xf>
    <xf numFmtId="0" fontId="2" fillId="2" borderId="2" xfId="0" applyFont="1" applyFill="1" applyBorder="1" applyAlignment="1">
      <alignment horizontal="center" wrapText="1"/>
    </xf>
    <xf numFmtId="0" fontId="3" fillId="3" borderId="3" xfId="0" applyFont="1" applyFill="1" applyBorder="1"/>
    <xf numFmtId="0" fontId="4" fillId="0" borderId="0" xfId="0" applyFont="1"/>
    <xf numFmtId="0" fontId="5" fillId="0" borderId="0" xfId="0" applyFont="1"/>
    <xf numFmtId="0" fontId="0" fillId="4" borderId="0" xfId="0" applyFill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/>
    </xf>
    <xf numFmtId="165" fontId="7" fillId="0" borderId="0" xfId="0" applyNumberFormat="1" applyFont="1"/>
    <xf numFmtId="14" fontId="5" fillId="0" borderId="0" xfId="0" applyNumberFormat="1" applyFont="1"/>
    <xf numFmtId="165" fontId="5" fillId="0" borderId="0" xfId="0" applyNumberFormat="1" applyFont="1"/>
    <xf numFmtId="0" fontId="8" fillId="0" borderId="0" xfId="0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3" fillId="0" borderId="3" xfId="0" applyFont="1" applyBorder="1"/>
    <xf numFmtId="0" fontId="3" fillId="0" borderId="0" xfId="0" applyFont="1"/>
    <xf numFmtId="0" fontId="9" fillId="0" borderId="0" xfId="0" applyFont="1" applyAlignment="1">
      <alignment horizontal="center"/>
    </xf>
    <xf numFmtId="166" fontId="7" fillId="0" borderId="0" xfId="1" applyNumberFormat="1" applyFont="1"/>
    <xf numFmtId="166" fontId="5" fillId="0" borderId="0" xfId="1" applyNumberFormat="1" applyFont="1"/>
    <xf numFmtId="0" fontId="8" fillId="0" borderId="0" xfId="1" applyNumberFormat="1" applyFont="1" applyAlignment="1">
      <alignment horizontal="center"/>
    </xf>
    <xf numFmtId="0" fontId="3" fillId="3" borderId="4" xfId="0" applyFont="1" applyFill="1" applyBorder="1"/>
    <xf numFmtId="0" fontId="5" fillId="3" borderId="2" xfId="0" applyFont="1" applyFill="1" applyBorder="1"/>
    <xf numFmtId="0" fontId="4" fillId="3" borderId="2" xfId="0" applyFont="1" applyFill="1" applyBorder="1"/>
    <xf numFmtId="0" fontId="0" fillId="3" borderId="2" xfId="0" applyFill="1" applyBorder="1" applyAlignment="1">
      <alignment horizontal="center"/>
    </xf>
    <xf numFmtId="0" fontId="6" fillId="3" borderId="2" xfId="0" applyFont="1" applyFill="1" applyBorder="1"/>
    <xf numFmtId="0" fontId="7" fillId="3" borderId="2" xfId="0" applyFont="1" applyFill="1" applyBorder="1" applyAlignment="1">
      <alignment horizontal="center"/>
    </xf>
    <xf numFmtId="165" fontId="7" fillId="3" borderId="2" xfId="0" applyNumberFormat="1" applyFont="1" applyFill="1" applyBorder="1"/>
    <xf numFmtId="14" fontId="5" fillId="3" borderId="2" xfId="0" applyNumberFormat="1" applyFont="1" applyFill="1" applyBorder="1"/>
    <xf numFmtId="165" fontId="5" fillId="3" borderId="2" xfId="0" applyNumberFormat="1" applyFont="1" applyFill="1" applyBorder="1"/>
    <xf numFmtId="0" fontId="8" fillId="3" borderId="2" xfId="0" applyFont="1" applyFill="1" applyBorder="1" applyAlignment="1">
      <alignment horizontal="center"/>
    </xf>
    <xf numFmtId="165" fontId="8" fillId="3" borderId="2" xfId="0" applyNumberFormat="1" applyFont="1" applyFill="1" applyBorder="1" applyAlignment="1">
      <alignment horizontal="center"/>
    </xf>
    <xf numFmtId="0" fontId="5" fillId="0" borderId="2" xfId="0" applyFont="1" applyBorder="1"/>
    <xf numFmtId="0" fontId="4" fillId="0" borderId="2" xfId="0" applyFont="1" applyBorder="1"/>
    <xf numFmtId="0" fontId="0" fillId="0" borderId="2" xfId="0" applyBorder="1" applyAlignment="1">
      <alignment horizontal="center"/>
    </xf>
    <xf numFmtId="0" fontId="6" fillId="0" borderId="2" xfId="0" applyFont="1" applyBorder="1"/>
    <xf numFmtId="0" fontId="7" fillId="0" borderId="2" xfId="0" applyFont="1" applyBorder="1" applyAlignment="1">
      <alignment horizontal="center"/>
    </xf>
    <xf numFmtId="165" fontId="7" fillId="0" borderId="2" xfId="0" applyNumberFormat="1" applyFont="1" applyBorder="1"/>
    <xf numFmtId="14" fontId="5" fillId="0" borderId="2" xfId="0" applyNumberFormat="1" applyFont="1" applyBorder="1"/>
    <xf numFmtId="165" fontId="5" fillId="0" borderId="2" xfId="0" applyNumberFormat="1" applyFont="1" applyBorder="1"/>
    <xf numFmtId="0" fontId="8" fillId="0" borderId="2" xfId="0" applyFont="1" applyBorder="1" applyAlignment="1">
      <alignment horizontal="center"/>
    </xf>
    <xf numFmtId="165" fontId="8" fillId="0" borderId="2" xfId="0" applyNumberFormat="1" applyFont="1" applyBorder="1" applyAlignment="1">
      <alignment horizontal="center"/>
    </xf>
    <xf numFmtId="0" fontId="3" fillId="0" borderId="0" xfId="0" applyFont="1" applyAlignment="1">
      <alignment wrapText="1"/>
    </xf>
    <xf numFmtId="0" fontId="10" fillId="0" borderId="5" xfId="0" applyFont="1" applyBorder="1"/>
    <xf numFmtId="0" fontId="10" fillId="0" borderId="6" xfId="0" applyFont="1" applyBorder="1"/>
    <xf numFmtId="0" fontId="10" fillId="0" borderId="7" xfId="0" applyFont="1" applyBorder="1"/>
    <xf numFmtId="0" fontId="2" fillId="2" borderId="3" xfId="0" applyFont="1" applyFill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4" fillId="0" borderId="4" xfId="0" applyFont="1" applyBorder="1"/>
    <xf numFmtId="0" fontId="5" fillId="0" borderId="4" xfId="0" applyFont="1" applyBorder="1"/>
    <xf numFmtId="0" fontId="0" fillId="0" borderId="4" xfId="0" applyBorder="1" applyAlignment="1">
      <alignment horizontal="center"/>
    </xf>
    <xf numFmtId="0" fontId="6" fillId="0" borderId="4" xfId="0" applyFont="1" applyBorder="1"/>
    <xf numFmtId="0" fontId="7" fillId="0" borderId="4" xfId="0" applyFont="1" applyBorder="1" applyAlignment="1">
      <alignment horizontal="center"/>
    </xf>
    <xf numFmtId="165" fontId="7" fillId="0" borderId="4" xfId="0" applyNumberFormat="1" applyFont="1" applyBorder="1"/>
    <xf numFmtId="14" fontId="5" fillId="0" borderId="4" xfId="0" applyNumberFormat="1" applyFont="1" applyBorder="1"/>
    <xf numFmtId="165" fontId="5" fillId="0" borderId="4" xfId="0" applyNumberFormat="1" applyFont="1" applyBorder="1"/>
    <xf numFmtId="0" fontId="8" fillId="0" borderId="4" xfId="0" applyFont="1" applyBorder="1" applyAlignment="1">
      <alignment horizontal="center"/>
    </xf>
    <xf numFmtId="165" fontId="8" fillId="0" borderId="4" xfId="0" applyNumberFormat="1" applyFont="1" applyBorder="1" applyAlignment="1">
      <alignment horizontal="center"/>
    </xf>
    <xf numFmtId="165" fontId="3" fillId="3" borderId="3" xfId="0" applyNumberFormat="1" applyFont="1" applyFill="1" applyBorder="1" applyAlignment="1">
      <alignment wrapText="1"/>
    </xf>
    <xf numFmtId="165" fontId="11" fillId="3" borderId="3" xfId="0" applyNumberFormat="1" applyFont="1" applyFill="1" applyBorder="1" applyAlignment="1">
      <alignment wrapText="1"/>
    </xf>
  </cellXfs>
  <cellStyles count="2">
    <cellStyle name="Comma" xfId="1" builtinId="3"/>
    <cellStyle name="Normal" xfId="0" builtinId="0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0" wrapText="1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numFmt numFmtId="165" formatCode="#,##0_ ;[Red]\-#,##0\ 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numFmt numFmtId="165" formatCode="#,##0_ ;[Red]\-#,##0\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numFmt numFmtId="165" formatCode="#,##0_ ;[Red]\-#,##0\ "/>
    </dxf>
    <dxf>
      <font>
        <b/>
        <strike val="0"/>
        <outline val="0"/>
        <shadow val="0"/>
        <u val="none"/>
        <vertAlign val="baseline"/>
        <color theme="4" tint="-0.249977111117893"/>
      </font>
      <numFmt numFmtId="165" formatCode="#,##0_ ;[Red]\-#,##0\ "/>
    </dxf>
    <dxf>
      <font>
        <b/>
        <strike val="0"/>
        <outline val="0"/>
        <shadow val="0"/>
        <u val="none"/>
        <vertAlign val="baseline"/>
        <color theme="4" tint="-0.249977111117893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</dxf>
    <dxf>
      <numFmt numFmtId="0" formatCode="General"/>
      <fill>
        <patternFill patternType="solid">
          <fgColor indexed="64"/>
          <bgColor theme="6" tint="0.399975585192419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ropbox%20(Milliman)\_Mill_CY\1%20(Admin)\_Time%20Charges%20and%20Billing\Planning%20and%20Pipeline\ICEE%20Plan%20CY_v4%202022%20(Chrgs_1222%20-%20Bills_180523%20-%20Plan_311222)%2019052023.xlsx" TargetMode="External"/><Relationship Id="rId1" Type="http://schemas.openxmlformats.org/officeDocument/2006/relationships/externalLinkPath" Target="ICEE%20Plan%20CY_v4%202022%20(Chrgs_1222%20-%20Bills_180523%20-%20Plan_311222)%201905202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ropbox%20(Milliman)\_Mill_CY\1%20(Admin)\_Time%20Charges%20and%20Billing\Planning%20and%20Pipeline\ICEE%20Plan%20CY_v4%202023%20(Chrgs_0424%20-%20Bills_070623%20-%20Plan_311222)%2024052024.xlsx" TargetMode="External"/><Relationship Id="rId1" Type="http://schemas.openxmlformats.org/officeDocument/2006/relationships/externalLinkPath" Target="ICEE%20Plan%20CY_v4%202023%20(Chrgs_0424%20-%20Bills_070623%20-%20Plan_311222)%202405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"/>
      <sheetName val="ReadMe"/>
      <sheetName val="InvoiceLogTemplate"/>
      <sheetName val="Income Plan_03_01_2023"/>
      <sheetName val="Unbilled Nov (AB) (2)"/>
      <sheetName val="Unbilled Nov (AB)"/>
      <sheetName val="Income Plan_07_12_2022"/>
      <sheetName val="Pipeline CY Dec 2022"/>
      <sheetName val="Aldo_email_9_12_21_Link"/>
      <sheetName val="ProjectList"/>
      <sheetName val="TimeUpto_mm_yyyy"/>
      <sheetName val="Income Plan_mmyy"/>
      <sheetName val="InvAnalysis Nov22"/>
      <sheetName val="Notes for Nov 22"/>
      <sheetName val="PTO_ReportData"/>
      <sheetName val="TimeUpto_mm_yyyy_pp"/>
      <sheetName val="IAG (3)"/>
      <sheetName val="Sheet2 (2)"/>
      <sheetName val="From CD"/>
      <sheetName val="Billed_Paid (2)"/>
      <sheetName val="Billed_Paid"/>
      <sheetName val="Settings"/>
      <sheetName val="TimeCharges_Reports --&gt;"/>
      <sheetName val="TimeCharges_Report_Latest"/>
      <sheetName val="2022-12-31"/>
      <sheetName val="2022_01-07"/>
      <sheetName val="Old --&gt;"/>
      <sheetName val="Income Plan_Dec21"/>
      <sheetName val="Income Plan_Nov21 (2)"/>
      <sheetName val="TimeUpto_12_2021"/>
      <sheetName val="Sheet2"/>
      <sheetName val="IAG (2)"/>
      <sheetName val="Cartel1 (Aldo_email_9_12_21)"/>
      <sheetName val="Income Plan_Nov21"/>
      <sheetName val="TimeUpto_11_2021"/>
      <sheetName val="Income Plan"/>
      <sheetName val="Gross data 2021"/>
      <sheetName val="IAG"/>
      <sheetName val="TimeUpto_10_2021"/>
      <sheetName val="MWRP03-2066CA47-0E95-446F-AF4C"/>
      <sheetName val="TimeCharges_Report_Nov2021"/>
      <sheetName val="Billing Rates"/>
      <sheetName val="ICEE Plan CY_v4 2022 (Chrgs_1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"/>
      <sheetName val="Income Plan_03_01_2023"/>
      <sheetName val="Income Plan_mmyy"/>
      <sheetName val="ReadMe"/>
      <sheetName val="InvoiceLogTemplate"/>
      <sheetName val="ProjectList"/>
      <sheetName val="TimeUpto_mm_yyyy"/>
      <sheetName val="PTO_ReportData"/>
      <sheetName val="IAG (3)"/>
      <sheetName val="TimeUpto_mm_yyyy_pp"/>
      <sheetName val="Sheet2 (2)"/>
      <sheetName val="Billed_Paid (2)"/>
      <sheetName val="Billed_Paid"/>
      <sheetName val="From CD"/>
      <sheetName val="Settings"/>
      <sheetName val="TimeCharges_Reports --&gt;"/>
      <sheetName val="TimeCharges_Report_Latest"/>
      <sheetName val="Old --&gt;"/>
      <sheetName val="CLIENT_CHARGE OFFS 2022"/>
      <sheetName val="Pipeline CY Dec 2022"/>
      <sheetName val="Income Plan_Dec21"/>
      <sheetName val="Unbilled Nov 2022 (AB) (2)"/>
      <sheetName val="Unbilled Nov 2022 (AB)"/>
      <sheetName val="Income Plan_07_12_2022"/>
      <sheetName val="2022-12-31"/>
      <sheetName val="Aldo_email_9_12_21_Link"/>
      <sheetName val="InvAnalysis Nov22"/>
      <sheetName val="Notes for Nov 22"/>
      <sheetName val="TimeUpto_12_2021"/>
      <sheetName val="Income Plan_Nov21 (2)"/>
      <sheetName val="IAG (2)"/>
      <sheetName val="Cartel1 (Aldo_email_9_12_21)"/>
      <sheetName val="Income Plan_Nov21"/>
      <sheetName val="TimeUpto_11_2021"/>
      <sheetName val="Income Plan"/>
      <sheetName val="Gross data 2021"/>
      <sheetName val="IAG"/>
      <sheetName val="TimeUpto_10_2021"/>
      <sheetName val="MWRP03-2066CA47-0E95-446F-AF4C"/>
      <sheetName val="TimeCharges_Report_Nov2021"/>
      <sheetName val="Billing R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E13636-76D6-4989-AE23-2CF5E29ACB6C}" name="_Tbl_Invoices78" displayName="_Tbl_Invoices78" ref="B10:S16" totalsRowShown="0" headerRowDxfId="22">
  <autoFilter ref="B10:S16" xr:uid="{04F75989-7FC5-4A7B-AC67-BC582ECA47D7}"/>
  <tableColumns count="18">
    <tableColumn id="1" xr3:uid="{530EAF1D-EBEF-4B9D-A9BC-9B60CCEA13C1}" name="Year" dataDxfId="21"/>
    <tableColumn id="2" xr3:uid="{2B4E7DA5-E9C8-4760-BADA-D99DCF860F47}" name="Client" dataDxfId="20"/>
    <tableColumn id="18" xr3:uid="{2D8B2D8E-23AB-4FF8-971F-8536CAB681FB}" name="Legal Entity" dataDxfId="19"/>
    <tableColumn id="3" xr3:uid="{CDF012B4-0E50-4BDF-A535-4BC75D69F4A4}" name="Project" dataDxfId="18"/>
    <tableColumn id="4" xr3:uid="{C98DB15C-CA3D-4EE1-867F-BA6AD7DDCEB4}" name="client_code" dataDxfId="17"/>
    <tableColumn id="5" xr3:uid="{7455C9B0-7485-4B78-984F-FA34350446F9}" name="Suffices Count" dataDxfId="16"/>
    <tableColumn id="6" xr3:uid="{03845705-8207-4446-9A6F-D99B453E3671}" name="allocate to:" dataDxfId="15"/>
    <tableColumn id="17" xr3:uid="{7B9D7D3B-47FB-4BCD-A8B5-F5C830C94DA1}" name="Type" dataDxfId="14"/>
    <tableColumn id="7" xr3:uid="{2C660BAF-80E8-42A3-AB81-74DDCAC4EF0E}" name="Invoice No" dataDxfId="13"/>
    <tableColumn id="8" xr3:uid="{67209AD5-9F1D-47FB-91AC-A1934183623F}" name="Invoiced Amt" dataDxfId="12"/>
    <tableColumn id="16" xr3:uid="{95AF3F22-E187-46B2-A1A6-777A6E859669}" name="Date Issued" dataDxfId="11"/>
    <tableColumn id="15" xr3:uid="{A4721C46-2FA5-4091-91D1-9FA0D14100F7}" name="Note" dataDxfId="10"/>
    <tableColumn id="13" xr3:uid="{90AE9BAD-7056-4963-8C03-CAC5E85D84A3}" name="Suffix1" dataDxfId="9"/>
    <tableColumn id="14" xr3:uid="{D8CFDA2D-E2ED-45F1-8561-0EE24575CE2F}" name="Inv. Amt S1" dataDxfId="8"/>
    <tableColumn id="9" xr3:uid="{8735B140-BFA1-4F51-8B06-964A30D07757}" name="Suffix2" dataDxfId="7"/>
    <tableColumn id="10" xr3:uid="{C843D48A-CD80-4CE7-881B-B4FB0113811A}" name="Inv. Amt S2" dataDxfId="6"/>
    <tableColumn id="11" xr3:uid="{7F376A69-65A7-4380-BC6E-12BA2587CDED}" name="Suffix3" dataDxfId="5"/>
    <tableColumn id="12" xr3:uid="{6D66A39C-A979-4A92-8F57-8CFEC6C736B1}" name="Inv. Amt S3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56A3C8-ED24-4CCE-9938-D91567C9CFCE}" name="Table2" displayName="Table2" ref="B21:T25" totalsRowShown="0" headerRowDxfId="0" headerRowBorderDxfId="2" tableBorderDxfId="3" totalsRowBorderDxfId="1">
  <autoFilter ref="B21:T25" xr:uid="{9F56A3C8-ED24-4CCE-9938-D91567C9CFCE}"/>
  <tableColumns count="19">
    <tableColumn id="1" xr3:uid="{94830DFD-C928-4A3A-BDA4-69EBEBDBBB5D}" name="Date">
      <calculatedColumnFormula>LEFT([2]!_Tbl_Invoices[[#This Row],[Invoice No]],4)*1</calculatedColumnFormula>
    </tableColumn>
    <tableColumn id="2" xr3:uid="{D0BF4228-1D3E-4C0F-ADEF-EC2476714E51}" name="Client"/>
    <tableColumn id="3" xr3:uid="{F3334728-7CB6-450F-A0F7-DF8EF9FC6F44}" name="Legal Entity"/>
    <tableColumn id="4" xr3:uid="{9B826615-8CEB-4516-B5CC-8F182CE7403E}" name="Project"/>
    <tableColumn id="5" xr3:uid="{220EB0DF-F75B-468D-90E9-626E6F2F0D0D}" name="client_code">
      <calculatedColumnFormula>INDEX([2]!_Tbl_MainProjInfo[client_code],MATCH([2]!_Tbl_Invoices[[#This Row],[Client]],[2]!_Tbl_MainProjInfo[Client],0))</calculatedColumnFormula>
    </tableColumn>
    <tableColumn id="6" xr3:uid="{357EA479-69CE-44F0-A33C-3C1E9EBB0DF6}" name="Suffices Count">
      <calculatedColumnFormula>IF(ISBLANK([2]!_Tbl_Invoices[[#This Row],[Project]]),COUNTIF([2]!_Tbl_MainProjInfo[Client],[2]!_Tbl_Invoices[[#This Row],[Client]]),COUNTIFS([2]!_Tbl_MainProjInfo[Client],[2]!_Tbl_Invoices[[#This Row],[Client]],[2]!_Tbl_MainProjInfo[Project],[2]!_Tbl_Invoices[[#This Row],[Project]]))</calculatedColumnFormula>
    </tableColumn>
    <tableColumn id="7" xr3:uid="{E4A76903-0C43-4578-BC44-6169A4202C6A}" name="allocate to:"/>
    <tableColumn id="8" xr3:uid="{3BC646CC-6CA5-4E7D-BF88-EAEF48315D9B}" name="Type"/>
    <tableColumn id="9" xr3:uid="{D9BC490C-AB2D-440D-BA75-6DE7314881B6}" name="Invoice No"/>
    <tableColumn id="10" xr3:uid="{700702DA-06E0-4DEE-BFF6-38FC0FD007F1}" name="Invoiced Amt"/>
    <tableColumn id="11" xr3:uid="{5CC834C6-A2DC-4689-937C-42C975AEEA6A}" name="Date Issued"/>
    <tableColumn id="12" xr3:uid="{28592F94-A0B9-402E-B325-A5163EF66193}" name="Invoice Status"/>
    <tableColumn id="13" xr3:uid="{31B8CEA3-741F-46DF-AA06-2C8F13321FF2}" name="Note"/>
    <tableColumn id="14" xr3:uid="{E9F959D6-AC7B-4A46-B98D-43B3169EF568}" name="Suffix1"/>
    <tableColumn id="15" xr3:uid="{785961D5-39EF-49AF-BC38-B78C8CF2C3CD}" name="Inv. Amt S1"/>
    <tableColumn id="16" xr3:uid="{F1042967-32C5-441A-B915-C16DCDBF87C6}" name="Suffix2"/>
    <tableColumn id="17" xr3:uid="{1A878FBB-FC34-4996-B1B6-2C1BB88130ED}" name="Inv. Amt S2"/>
    <tableColumn id="18" xr3:uid="{A89B4A47-C404-4762-8C88-B29F4A749085}" name="Suffix3"/>
    <tableColumn id="19" xr3:uid="{1D27BD16-DA8A-4B3A-AFFD-6C687A2FBD04}" name="Inv. Amt S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F8DAB-3FB1-45FF-A6F7-AC01AD9AEFD0}">
  <sheetPr>
    <tabColor theme="9" tint="0.39997558519241921"/>
  </sheetPr>
  <dimension ref="B10:AD49"/>
  <sheetViews>
    <sheetView tabSelected="1" topLeftCell="B8" workbookViewId="0">
      <selection activeCell="K22" sqref="K22:K25"/>
    </sheetView>
  </sheetViews>
  <sheetFormatPr defaultRowHeight="14.4" x14ac:dyDescent="0.55000000000000004"/>
  <cols>
    <col min="4" max="4" width="11.9453125" customWidth="1"/>
    <col min="5" max="5" width="14" customWidth="1"/>
    <col min="6" max="6" width="13.05078125" customWidth="1"/>
    <col min="7" max="7" width="14.1015625" customWidth="1"/>
    <col min="8" max="8" width="11.578125" customWidth="1"/>
    <col min="10" max="10" width="11.1015625" customWidth="1"/>
    <col min="11" max="11" width="13.26171875" customWidth="1"/>
    <col min="12" max="12" width="12" customWidth="1"/>
    <col min="13" max="13" width="13.83984375" customWidth="1"/>
    <col min="16" max="16" width="11.734375" customWidth="1"/>
    <col min="18" max="18" width="11.734375" customWidth="1"/>
    <col min="20" max="20" width="11.734375" customWidth="1"/>
    <col min="22" max="22" width="11.578125" customWidth="1"/>
    <col min="23" max="23" width="10.20703125" bestFit="1" customWidth="1"/>
    <col min="26" max="26" width="15" customWidth="1"/>
    <col min="27" max="27" width="11.05078125" customWidth="1"/>
  </cols>
  <sheetData>
    <row r="10" spans="2:30" ht="57.6" x14ac:dyDescent="0.55000000000000004">
      <c r="B10" s="1" t="s">
        <v>0</v>
      </c>
      <c r="C10" s="2" t="s">
        <v>1</v>
      </c>
      <c r="D10" s="2" t="s">
        <v>2</v>
      </c>
      <c r="E10" s="2" t="s">
        <v>3</v>
      </c>
      <c r="F10" s="2" t="s">
        <v>4</v>
      </c>
      <c r="G10" s="2" t="s">
        <v>5</v>
      </c>
      <c r="H10" s="2" t="s">
        <v>6</v>
      </c>
      <c r="I10" s="3" t="s">
        <v>7</v>
      </c>
      <c r="J10" s="3" t="s">
        <v>8</v>
      </c>
      <c r="K10" s="3" t="s">
        <v>9</v>
      </c>
      <c r="L10" s="3" t="s">
        <v>10</v>
      </c>
      <c r="M10" s="3" t="s">
        <v>11</v>
      </c>
      <c r="N10" s="4" t="s">
        <v>12</v>
      </c>
      <c r="O10" s="3" t="s">
        <v>13</v>
      </c>
      <c r="P10" s="2" t="s">
        <v>14</v>
      </c>
      <c r="Q10" s="3" t="s">
        <v>15</v>
      </c>
      <c r="R10" s="2" t="s">
        <v>16</v>
      </c>
      <c r="S10" s="3" t="s">
        <v>17</v>
      </c>
      <c r="Y10" s="5" t="s">
        <v>4</v>
      </c>
      <c r="Z10" s="5" t="s">
        <v>1</v>
      </c>
      <c r="AA10" s="5" t="s">
        <v>3</v>
      </c>
      <c r="AB10" s="59" t="s">
        <v>82</v>
      </c>
      <c r="AC10" s="60" t="s">
        <v>83</v>
      </c>
      <c r="AD10" s="59" t="s">
        <v>84</v>
      </c>
    </row>
    <row r="11" spans="2:30" x14ac:dyDescent="0.55000000000000004">
      <c r="B11" s="6"/>
      <c r="C11" s="7"/>
      <c r="D11" s="7"/>
      <c r="E11" s="7"/>
      <c r="F11" s="6"/>
      <c r="G11" s="8"/>
      <c r="H11" s="9"/>
      <c r="I11" s="9" t="s">
        <v>18</v>
      </c>
      <c r="J11" s="10"/>
      <c r="K11" s="11"/>
      <c r="L11" s="12"/>
      <c r="M11" s="13"/>
      <c r="N11" s="14"/>
      <c r="O11" s="15"/>
      <c r="P11" s="14"/>
      <c r="Q11" s="14"/>
      <c r="R11" s="14"/>
      <c r="S11" s="14"/>
      <c r="Y11" s="16" t="s">
        <v>19</v>
      </c>
      <c r="Z11" s="17">
        <v>0</v>
      </c>
      <c r="AA11" t="s">
        <v>20</v>
      </c>
    </row>
    <row r="12" spans="2:30" x14ac:dyDescent="0.55000000000000004">
      <c r="B12" s="6"/>
      <c r="C12" s="7"/>
      <c r="D12" s="7"/>
      <c r="E12" s="7"/>
      <c r="F12" s="6"/>
      <c r="G12" s="8"/>
      <c r="H12" s="9"/>
      <c r="I12" s="9"/>
      <c r="J12" s="10"/>
      <c r="K12" s="11"/>
      <c r="L12" s="12"/>
      <c r="M12" s="13"/>
      <c r="N12" s="14"/>
      <c r="O12" s="15"/>
      <c r="P12" s="14"/>
      <c r="Q12" s="14"/>
      <c r="R12" s="14"/>
      <c r="S12" s="14"/>
      <c r="Y12" s="16" t="s">
        <v>21</v>
      </c>
      <c r="Z12" s="17" t="s">
        <v>22</v>
      </c>
      <c r="AA12" t="s">
        <v>20</v>
      </c>
    </row>
    <row r="13" spans="2:30" x14ac:dyDescent="0.55000000000000004">
      <c r="B13" s="6"/>
      <c r="C13" s="7"/>
      <c r="D13" s="7"/>
      <c r="E13" s="7"/>
      <c r="F13" s="6"/>
      <c r="G13" s="8"/>
      <c r="H13" s="9"/>
      <c r="I13" s="9"/>
      <c r="J13" s="10"/>
      <c r="K13" s="11"/>
      <c r="L13" s="12"/>
      <c r="M13" s="13"/>
      <c r="N13" s="14"/>
      <c r="O13" s="15"/>
      <c r="P13" s="14"/>
      <c r="Q13" s="14"/>
      <c r="R13" s="14"/>
      <c r="S13" s="14"/>
      <c r="Y13" s="16" t="s">
        <v>23</v>
      </c>
      <c r="Z13" s="17" t="s">
        <v>24</v>
      </c>
      <c r="AA13" t="s">
        <v>20</v>
      </c>
    </row>
    <row r="14" spans="2:30" x14ac:dyDescent="0.55000000000000004">
      <c r="B14" s="6"/>
      <c r="C14" s="7"/>
      <c r="D14" s="7"/>
      <c r="E14" s="7"/>
      <c r="F14" s="6"/>
      <c r="G14" s="8"/>
      <c r="H14" s="9"/>
      <c r="I14" s="9"/>
      <c r="J14" s="10"/>
      <c r="K14" s="11"/>
      <c r="L14" s="12"/>
      <c r="M14" s="13"/>
      <c r="N14" s="14"/>
      <c r="O14" s="15"/>
      <c r="P14" s="14"/>
      <c r="Q14" s="14"/>
      <c r="R14" s="14"/>
      <c r="S14" s="14"/>
      <c r="Y14" s="16" t="s">
        <v>25</v>
      </c>
      <c r="Z14" s="17" t="s">
        <v>26</v>
      </c>
      <c r="AA14" t="s">
        <v>20</v>
      </c>
    </row>
    <row r="15" spans="2:30" x14ac:dyDescent="0.55000000000000004">
      <c r="B15" s="6"/>
      <c r="C15" s="7"/>
      <c r="D15" s="7"/>
      <c r="E15" s="7"/>
      <c r="F15" s="6"/>
      <c r="G15" s="8"/>
      <c r="H15" s="9"/>
      <c r="I15" s="9"/>
      <c r="J15" s="18"/>
      <c r="K15" s="11"/>
      <c r="L15" s="12"/>
      <c r="M15" s="13"/>
      <c r="N15" s="14"/>
      <c r="O15" s="15"/>
      <c r="P15" s="14"/>
      <c r="Q15" s="14"/>
      <c r="R15" s="14"/>
      <c r="S15" s="14"/>
      <c r="Y15" s="17" t="s">
        <v>27</v>
      </c>
      <c r="Z15" s="17" t="s">
        <v>28</v>
      </c>
      <c r="AA15" t="s">
        <v>29</v>
      </c>
    </row>
    <row r="16" spans="2:30" ht="28.8" x14ac:dyDescent="0.55000000000000004">
      <c r="B16" s="6"/>
      <c r="C16" s="7"/>
      <c r="D16" s="7"/>
      <c r="E16" s="7"/>
      <c r="F16" s="6"/>
      <c r="G16" s="8"/>
      <c r="H16" s="9"/>
      <c r="I16" s="9"/>
      <c r="J16" s="10"/>
      <c r="K16" s="19"/>
      <c r="L16" s="12"/>
      <c r="M16" s="20"/>
      <c r="N16" s="21"/>
      <c r="O16" s="15"/>
      <c r="P16" s="14"/>
      <c r="Q16" s="14"/>
      <c r="R16" s="14"/>
      <c r="S16" s="14"/>
      <c r="W16" s="43" t="s">
        <v>74</v>
      </c>
      <c r="Y16" s="17" t="s">
        <v>27</v>
      </c>
      <c r="Z16" s="17" t="s">
        <v>28</v>
      </c>
      <c r="AA16" t="s">
        <v>30</v>
      </c>
    </row>
    <row r="17" spans="2:27" x14ac:dyDescent="0.55000000000000004">
      <c r="W17" s="44"/>
      <c r="Y17" s="17" t="s">
        <v>27</v>
      </c>
      <c r="Z17" s="17" t="s">
        <v>28</v>
      </c>
      <c r="AA17" t="s">
        <v>31</v>
      </c>
    </row>
    <row r="18" spans="2:27" x14ac:dyDescent="0.55000000000000004">
      <c r="W18" s="45" t="s">
        <v>78</v>
      </c>
      <c r="Y18" s="17" t="s">
        <v>27</v>
      </c>
      <c r="Z18" s="17" t="s">
        <v>28</v>
      </c>
      <c r="AA18" t="s">
        <v>32</v>
      </c>
    </row>
    <row r="19" spans="2:27" x14ac:dyDescent="0.55000000000000004">
      <c r="W19" s="45" t="s">
        <v>79</v>
      </c>
      <c r="Y19" s="16" t="s">
        <v>27</v>
      </c>
      <c r="Z19" s="17" t="s">
        <v>28</v>
      </c>
      <c r="AA19" t="s">
        <v>33</v>
      </c>
    </row>
    <row r="20" spans="2:27" x14ac:dyDescent="0.55000000000000004">
      <c r="W20" s="45" t="s">
        <v>80</v>
      </c>
      <c r="Y20" s="17" t="s">
        <v>34</v>
      </c>
      <c r="Z20" s="17" t="s">
        <v>35</v>
      </c>
      <c r="AA20" t="s">
        <v>20</v>
      </c>
    </row>
    <row r="21" spans="2:27" ht="28.8" x14ac:dyDescent="0.55000000000000004">
      <c r="B21" s="47" t="s">
        <v>73</v>
      </c>
      <c r="C21" s="47" t="s">
        <v>1</v>
      </c>
      <c r="D21" s="47" t="s">
        <v>2</v>
      </c>
      <c r="E21" s="47" t="s">
        <v>3</v>
      </c>
      <c r="F21" s="47" t="s">
        <v>4</v>
      </c>
      <c r="G21" s="47" t="s">
        <v>5</v>
      </c>
      <c r="H21" s="47" t="s">
        <v>6</v>
      </c>
      <c r="I21" s="47" t="s">
        <v>7</v>
      </c>
      <c r="J21" s="47" t="s">
        <v>8</v>
      </c>
      <c r="K21" s="47" t="s">
        <v>9</v>
      </c>
      <c r="L21" s="47" t="s">
        <v>10</v>
      </c>
      <c r="M21" s="47" t="s">
        <v>74</v>
      </c>
      <c r="N21" s="47" t="s">
        <v>11</v>
      </c>
      <c r="O21" s="48" t="s">
        <v>12</v>
      </c>
      <c r="P21" s="47" t="s">
        <v>13</v>
      </c>
      <c r="Q21" s="47" t="s">
        <v>14</v>
      </c>
      <c r="R21" s="47" t="s">
        <v>15</v>
      </c>
      <c r="S21" s="47" t="s">
        <v>16</v>
      </c>
      <c r="T21" s="47" t="s">
        <v>17</v>
      </c>
      <c r="W21" s="45" t="s">
        <v>75</v>
      </c>
      <c r="Y21" s="17" t="s">
        <v>34</v>
      </c>
      <c r="Z21" s="17" t="s">
        <v>35</v>
      </c>
      <c r="AA21" t="s">
        <v>36</v>
      </c>
    </row>
    <row r="22" spans="2:27" x14ac:dyDescent="0.55000000000000004">
      <c r="B22" s="24">
        <f>LEFT([2]!_Tbl_Invoices[[#This Row],[Invoice No]],4)*1</f>
        <v>2022</v>
      </c>
      <c r="C22" s="23" t="s">
        <v>28</v>
      </c>
      <c r="D22" s="23"/>
      <c r="E22" s="23" t="s">
        <v>29</v>
      </c>
      <c r="F22" s="24" t="str">
        <f>INDEX([2]!_Tbl_MainProjInfo[client_code],MATCH([2]!_Tbl_Invoices[[#This Row],[Client]],[2]!_Tbl_MainProjInfo[Client],0))</f>
        <v>0478EUR30</v>
      </c>
      <c r="G22" s="25">
        <f>IF(ISBLANK([2]!_Tbl_Invoices[[#This Row],[Project]]),COUNTIF([2]!_Tbl_MainProjInfo[Client],[2]!_Tbl_Invoices[[#This Row],[Client]]),COUNTIFS([2]!_Tbl_MainProjInfo[Client],[2]!_Tbl_Invoices[[#This Row],[Client]],[2]!_Tbl_MainProjInfo[Project],[2]!_Tbl_Invoices[[#This Row],[Project]]))</f>
        <v>1</v>
      </c>
      <c r="H22" s="26"/>
      <c r="I22" s="26" t="s">
        <v>18</v>
      </c>
      <c r="J22" s="27" t="s">
        <v>85</v>
      </c>
      <c r="K22" s="28">
        <v>400</v>
      </c>
      <c r="L22" s="29"/>
      <c r="M22" s="29" t="s">
        <v>75</v>
      </c>
      <c r="N22" s="30"/>
      <c r="O22" s="31"/>
      <c r="P22" s="32"/>
      <c r="Q22" s="31"/>
      <c r="R22" s="31"/>
      <c r="S22" s="31"/>
      <c r="T22" s="31"/>
      <c r="W22" s="45" t="s">
        <v>81</v>
      </c>
      <c r="Y22" s="17" t="s">
        <v>34</v>
      </c>
      <c r="Z22" s="17" t="s">
        <v>35</v>
      </c>
      <c r="AA22" t="s">
        <v>37</v>
      </c>
    </row>
    <row r="23" spans="2:27" x14ac:dyDescent="0.55000000000000004">
      <c r="B23" s="34">
        <f>LEFT([2]!_Tbl_Invoices[[#This Row],[Invoice No]],4)*1</f>
        <v>2022</v>
      </c>
      <c r="C23" s="33" t="s">
        <v>28</v>
      </c>
      <c r="D23" s="33"/>
      <c r="E23" s="33" t="s">
        <v>29</v>
      </c>
      <c r="F23" s="34" t="str">
        <f>INDEX([2]!_Tbl_MainProjInfo[client_code],MATCH([2]!_Tbl_Invoices[[#This Row],[Client]],[2]!_Tbl_MainProjInfo[Client],0))</f>
        <v>0478INT30</v>
      </c>
      <c r="G23" s="35">
        <f>IF(ISBLANK([2]!_Tbl_Invoices[[#This Row],[Project]]),COUNTIF([2]!_Tbl_MainProjInfo[Client],[2]!_Tbl_Invoices[[#This Row],[Client]]),COUNTIFS([2]!_Tbl_MainProjInfo[Client],[2]!_Tbl_Invoices[[#This Row],[Client]],[2]!_Tbl_MainProjInfo[Project],[2]!_Tbl_Invoices[[#This Row],[Project]]))</f>
        <v>1</v>
      </c>
      <c r="H23" s="36"/>
      <c r="I23" s="36" t="s">
        <v>18</v>
      </c>
      <c r="J23" s="37" t="s">
        <v>76</v>
      </c>
      <c r="K23" s="38">
        <v>880</v>
      </c>
      <c r="L23" s="39"/>
      <c r="M23" s="39" t="s">
        <v>75</v>
      </c>
      <c r="N23" s="40"/>
      <c r="O23" s="41"/>
      <c r="P23" s="42"/>
      <c r="Q23" s="41"/>
      <c r="R23" s="41"/>
      <c r="S23" s="41"/>
      <c r="T23" s="41"/>
      <c r="W23" s="45"/>
      <c r="Y23" s="16" t="s">
        <v>34</v>
      </c>
      <c r="Z23" s="17" t="s">
        <v>35</v>
      </c>
      <c r="AA23" t="s">
        <v>38</v>
      </c>
    </row>
    <row r="24" spans="2:27" x14ac:dyDescent="0.55000000000000004">
      <c r="B24" s="24">
        <f>LEFT([2]!_Tbl_Invoices[[#This Row],[Invoice No]],4)*1</f>
        <v>2022</v>
      </c>
      <c r="C24" s="23" t="s">
        <v>28</v>
      </c>
      <c r="D24" s="23"/>
      <c r="E24" s="23" t="s">
        <v>32</v>
      </c>
      <c r="F24" s="24" t="str">
        <f>INDEX([2]!_Tbl_MainProjInfo[client_code],MATCH([2]!_Tbl_Invoices[[#This Row],[Client]],[2]!_Tbl_MainProjInfo[Client],0))</f>
        <v>0478INT30</v>
      </c>
      <c r="G24" s="25">
        <f>IF(ISBLANK([2]!_Tbl_Invoices[[#This Row],[Project]]),COUNTIF([2]!_Tbl_MainProjInfo[Client],[2]!_Tbl_Invoices[[#This Row],[Client]]),COUNTIFS([2]!_Tbl_MainProjInfo[Client],[2]!_Tbl_Invoices[[#This Row],[Client]],[2]!_Tbl_MainProjInfo[Project],[2]!_Tbl_Invoices[[#This Row],[Project]]))</f>
        <v>1</v>
      </c>
      <c r="H24" s="26"/>
      <c r="I24" s="26" t="s">
        <v>18</v>
      </c>
      <c r="J24" s="27" t="s">
        <v>77</v>
      </c>
      <c r="K24" s="28">
        <v>135</v>
      </c>
      <c r="L24" s="29"/>
      <c r="M24" s="29" t="s">
        <v>75</v>
      </c>
      <c r="N24" s="30"/>
      <c r="O24" s="31">
        <v>10</v>
      </c>
      <c r="P24" s="32">
        <v>75</v>
      </c>
      <c r="Q24" s="31"/>
      <c r="R24" s="31"/>
      <c r="S24" s="31"/>
      <c r="T24" s="31"/>
      <c r="W24" s="45"/>
      <c r="Y24" s="17" t="s">
        <v>39</v>
      </c>
      <c r="Z24" s="17" t="s">
        <v>40</v>
      </c>
      <c r="AA24" t="s">
        <v>20</v>
      </c>
    </row>
    <row r="25" spans="2:27" x14ac:dyDescent="0.55000000000000004">
      <c r="B25" s="49">
        <f>LEFT([2]!_Tbl_Invoices[[#This Row],[Invoice No]],4)*1</f>
        <v>2022</v>
      </c>
      <c r="C25" s="50" t="s">
        <v>28</v>
      </c>
      <c r="D25" s="50"/>
      <c r="E25" s="50" t="s">
        <v>31</v>
      </c>
      <c r="F25" s="49" t="str">
        <f>INDEX([2]!_Tbl_MainProjInfo[client_code],MATCH([2]!_Tbl_Invoices[[#This Row],[Client]],[2]!_Tbl_MainProjInfo[Client],0))</f>
        <v>0478INT30</v>
      </c>
      <c r="G25" s="51">
        <f>IF(ISBLANK([2]!_Tbl_Invoices[[#This Row],[Project]]),COUNTIF([2]!_Tbl_MainProjInfo[Client],[2]!_Tbl_Invoices[[#This Row],[Client]]),COUNTIFS([2]!_Tbl_MainProjInfo[Client],[2]!_Tbl_Invoices[[#This Row],[Client]],[2]!_Tbl_MainProjInfo[Project],[2]!_Tbl_Invoices[[#This Row],[Project]]))</f>
        <v>1</v>
      </c>
      <c r="H25" s="52"/>
      <c r="I25" s="52" t="s">
        <v>18</v>
      </c>
      <c r="J25" s="53" t="s">
        <v>86</v>
      </c>
      <c r="K25" s="54">
        <v>95</v>
      </c>
      <c r="L25" s="55"/>
      <c r="M25" s="55" t="s">
        <v>75</v>
      </c>
      <c r="N25" s="56"/>
      <c r="O25" s="57">
        <v>9</v>
      </c>
      <c r="P25" s="58">
        <v>15.3</v>
      </c>
      <c r="Q25" s="57"/>
      <c r="R25" s="57"/>
      <c r="S25" s="57"/>
      <c r="T25" s="57"/>
      <c r="W25" s="45"/>
      <c r="Y25" s="17" t="s">
        <v>39</v>
      </c>
      <c r="Z25" s="17" t="s">
        <v>40</v>
      </c>
      <c r="AA25" t="s">
        <v>41</v>
      </c>
    </row>
    <row r="26" spans="2:27" x14ac:dyDescent="0.55000000000000004">
      <c r="W26" s="46"/>
      <c r="Y26" s="17" t="s">
        <v>39</v>
      </c>
      <c r="Z26" s="17" t="s">
        <v>40</v>
      </c>
      <c r="AA26" t="s">
        <v>42</v>
      </c>
    </row>
    <row r="27" spans="2:27" x14ac:dyDescent="0.55000000000000004">
      <c r="Y27" s="16" t="s">
        <v>39</v>
      </c>
      <c r="Z27" s="17" t="s">
        <v>40</v>
      </c>
      <c r="AA27" t="s">
        <v>43</v>
      </c>
    </row>
    <row r="28" spans="2:27" x14ac:dyDescent="0.55000000000000004">
      <c r="Y28" s="17" t="s">
        <v>44</v>
      </c>
      <c r="Z28" s="17" t="s">
        <v>45</v>
      </c>
      <c r="AA28" t="s">
        <v>46</v>
      </c>
    </row>
    <row r="29" spans="2:27" x14ac:dyDescent="0.55000000000000004">
      <c r="Y29" s="17" t="s">
        <v>44</v>
      </c>
      <c r="Z29" s="17" t="s">
        <v>45</v>
      </c>
      <c r="AA29" t="s">
        <v>47</v>
      </c>
    </row>
    <row r="30" spans="2:27" x14ac:dyDescent="0.55000000000000004">
      <c r="Y30" s="17" t="s">
        <v>44</v>
      </c>
      <c r="Z30" s="17" t="s">
        <v>45</v>
      </c>
      <c r="AA30" t="s">
        <v>48</v>
      </c>
    </row>
    <row r="31" spans="2:27" x14ac:dyDescent="0.55000000000000004">
      <c r="Y31" s="17" t="s">
        <v>44</v>
      </c>
      <c r="Z31" s="17" t="s">
        <v>45</v>
      </c>
      <c r="AA31" t="s">
        <v>49</v>
      </c>
    </row>
    <row r="32" spans="2:27" x14ac:dyDescent="0.55000000000000004">
      <c r="Y32" s="17" t="s">
        <v>44</v>
      </c>
      <c r="Z32" s="17" t="s">
        <v>45</v>
      </c>
      <c r="AA32" t="s">
        <v>50</v>
      </c>
    </row>
    <row r="33" spans="25:27" x14ac:dyDescent="0.55000000000000004">
      <c r="Y33" s="17" t="s">
        <v>44</v>
      </c>
      <c r="Z33" s="17" t="s">
        <v>45</v>
      </c>
      <c r="AA33" t="s">
        <v>51</v>
      </c>
    </row>
    <row r="34" spans="25:27" x14ac:dyDescent="0.55000000000000004">
      <c r="Y34" s="17" t="s">
        <v>44</v>
      </c>
      <c r="Z34" s="17" t="s">
        <v>45</v>
      </c>
      <c r="AA34" t="s">
        <v>52</v>
      </c>
    </row>
    <row r="35" spans="25:27" x14ac:dyDescent="0.55000000000000004">
      <c r="Y35" s="17" t="s">
        <v>44</v>
      </c>
      <c r="Z35" s="17" t="s">
        <v>45</v>
      </c>
      <c r="AA35" t="s">
        <v>53</v>
      </c>
    </row>
    <row r="36" spans="25:27" x14ac:dyDescent="0.55000000000000004">
      <c r="Y36" s="17" t="s">
        <v>44</v>
      </c>
      <c r="Z36" s="17" t="s">
        <v>45</v>
      </c>
      <c r="AA36" t="s">
        <v>54</v>
      </c>
    </row>
    <row r="37" spans="25:27" x14ac:dyDescent="0.55000000000000004">
      <c r="Y37" s="17" t="s">
        <v>44</v>
      </c>
      <c r="Z37" s="17" t="s">
        <v>45</v>
      </c>
      <c r="AA37" t="s">
        <v>55</v>
      </c>
    </row>
    <row r="38" spans="25:27" x14ac:dyDescent="0.55000000000000004">
      <c r="Y38" s="17" t="s">
        <v>44</v>
      </c>
      <c r="Z38" s="17" t="s">
        <v>45</v>
      </c>
      <c r="AA38" t="s">
        <v>56</v>
      </c>
    </row>
    <row r="39" spans="25:27" x14ac:dyDescent="0.55000000000000004">
      <c r="Y39" s="17" t="s">
        <v>44</v>
      </c>
      <c r="Z39" s="17" t="s">
        <v>45</v>
      </c>
      <c r="AA39" t="s">
        <v>57</v>
      </c>
    </row>
    <row r="40" spans="25:27" x14ac:dyDescent="0.55000000000000004">
      <c r="Y40" s="17" t="s">
        <v>44</v>
      </c>
      <c r="Z40" s="17" t="s">
        <v>45</v>
      </c>
      <c r="AA40" t="s">
        <v>58</v>
      </c>
    </row>
    <row r="41" spans="25:27" x14ac:dyDescent="0.55000000000000004">
      <c r="Y41" s="17" t="s">
        <v>44</v>
      </c>
      <c r="Z41" s="17" t="s">
        <v>45</v>
      </c>
      <c r="AA41" t="s">
        <v>59</v>
      </c>
    </row>
    <row r="42" spans="25:27" x14ac:dyDescent="0.55000000000000004">
      <c r="Y42" s="17" t="s">
        <v>44</v>
      </c>
      <c r="Z42" s="17" t="s">
        <v>45</v>
      </c>
      <c r="AA42" t="s">
        <v>60</v>
      </c>
    </row>
    <row r="43" spans="25:27" x14ac:dyDescent="0.55000000000000004">
      <c r="Y43" s="17" t="s">
        <v>44</v>
      </c>
      <c r="Z43" s="17" t="s">
        <v>45</v>
      </c>
      <c r="AA43" t="s">
        <v>61</v>
      </c>
    </row>
    <row r="44" spans="25:27" x14ac:dyDescent="0.55000000000000004">
      <c r="Y44" s="16" t="s">
        <v>44</v>
      </c>
      <c r="Z44" s="17" t="s">
        <v>45</v>
      </c>
      <c r="AA44" t="s">
        <v>36</v>
      </c>
    </row>
    <row r="45" spans="25:27" x14ac:dyDescent="0.55000000000000004">
      <c r="Y45" s="16" t="s">
        <v>62</v>
      </c>
      <c r="Z45" s="17" t="s">
        <v>63</v>
      </c>
      <c r="AA45" t="s">
        <v>64</v>
      </c>
    </row>
    <row r="46" spans="25:27" x14ac:dyDescent="0.55000000000000004">
      <c r="Y46" s="16" t="s">
        <v>65</v>
      </c>
      <c r="Z46" s="17" t="s">
        <v>66</v>
      </c>
      <c r="AA46" t="s">
        <v>20</v>
      </c>
    </row>
    <row r="47" spans="25:27" x14ac:dyDescent="0.55000000000000004">
      <c r="Y47" s="16" t="s">
        <v>67</v>
      </c>
      <c r="Z47" s="17" t="s">
        <v>68</v>
      </c>
      <c r="AA47" t="s">
        <v>20</v>
      </c>
    </row>
    <row r="48" spans="25:27" x14ac:dyDescent="0.55000000000000004">
      <c r="Y48" s="16" t="s">
        <v>69</v>
      </c>
      <c r="Z48" s="17" t="s">
        <v>70</v>
      </c>
      <c r="AA48" t="s">
        <v>71</v>
      </c>
    </row>
    <row r="49" spans="25:27" x14ac:dyDescent="0.55000000000000004">
      <c r="Y49" s="22" t="s">
        <v>72</v>
      </c>
      <c r="Z49" s="22"/>
      <c r="AA49" s="22"/>
    </row>
  </sheetData>
  <dataValidations count="9">
    <dataValidation type="list" errorStyle="warning" allowBlank="1" showInputMessage="1" showErrorMessage="1" sqref="D11:D16 D22:D25" xr:uid="{384D003C-3666-4D26-9ACA-2938C5153D9A}">
      <formula1>"Life, Non-Life, Assistance"</formula1>
    </dataValidation>
    <dataValidation type="list" allowBlank="1" showInputMessage="1" showErrorMessage="1" sqref="I11:I16 I22:I25" xr:uid="{549FAEC9-0BBC-4C6A-8FD1-699C6BE305F6}">
      <formula1>"Invoice, C/N"</formula1>
    </dataValidation>
    <dataValidation type="list" allowBlank="1" showInputMessage="1" showErrorMessage="1" sqref="M22:M25" xr:uid="{EB120844-36CA-4EAC-98EE-D2872CD2F626}">
      <formula1>$W$17:$W$26</formula1>
    </dataValidation>
    <dataValidation type="list" allowBlank="1" showInputMessage="1" showErrorMessage="1" sqref="C22:C25" xr:uid="{236AC0C2-9706-4CDB-AE53-A52C5E54FAEB}">
      <formula1>$AP$7:$AP$60</formula1>
    </dataValidation>
    <dataValidation type="list" allowBlank="1" showInputMessage="1" showErrorMessage="1" sqref="E22:E25" xr:uid="{AB33C95D-5193-427B-8708-7A6D63099D18}">
      <formula1>$AQ$7:$AQ$60</formula1>
    </dataValidation>
    <dataValidation type="list" allowBlank="1" showInputMessage="1" showErrorMessage="1" sqref="F22:F25" xr:uid="{811C5B54-56D2-447A-8214-8E6122F6841E}">
      <formula1>$AO$7:$AO$60</formula1>
    </dataValidation>
    <dataValidation type="list" allowBlank="1" showInputMessage="1" showErrorMessage="1" sqref="C11:C16" xr:uid="{D39526E1-4064-4B85-AE07-06FB89B9B1F8}">
      <formula1>$Z$10:$Z$48</formula1>
    </dataValidation>
    <dataValidation type="list" allowBlank="1" showInputMessage="1" showErrorMessage="1" sqref="E11:E16" xr:uid="{43F27089-B1C0-44EA-A4F7-0699BC842CD2}">
      <formula1>$AA$10:$AA$48</formula1>
    </dataValidation>
    <dataValidation type="list" allowBlank="1" showInputMessage="1" showErrorMessage="1" sqref="F11:F16" xr:uid="{127484E1-9865-4474-B892-F21BB4AD650D}">
      <formula1>$Y$10:$Y$48</formula1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InvoiceLogTemplate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Demosthenis</dc:creator>
  <cp:lastModifiedBy>D Demosthenous</cp:lastModifiedBy>
  <dcterms:created xsi:type="dcterms:W3CDTF">2023-05-19T12:19:21Z</dcterms:created>
  <dcterms:modified xsi:type="dcterms:W3CDTF">2024-05-31T07:53:56Z</dcterms:modified>
</cp:coreProperties>
</file>